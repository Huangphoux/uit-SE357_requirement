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chức năng" sheetId="1" r:id="rId4"/>
    <sheet state="visible" name="Hệ số hiệu chỉnh" sheetId="2" r:id="rId5"/>
    <sheet state="visible" name="Công nghệ triển khai" sheetId="3" r:id="rId6"/>
    <sheet state="visible" name="Danh mục chi phí" sheetId="4" r:id="rId7"/>
  </sheets>
  <definedNames/>
  <calcPr/>
  <extLst>
    <ext uri="GoogleSheetsCustomDataVersion2">
      <go:sheetsCustomData xmlns:go="http://customooxmlschemas.google.com/" r:id="rId8" roundtripDataChecksum="ureaRIa1x/RAOg+6M2+Z16CbaVjQQsWxWk9ce8rWH5w="/>
    </ext>
  </extLst>
</workbook>
</file>

<file path=xl/sharedStrings.xml><?xml version="1.0" encoding="utf-8"?>
<sst xmlns="http://schemas.openxmlformats.org/spreadsheetml/2006/main" count="162" uniqueCount="113">
  <si>
    <t>DANH SÁCH CÁC CHỨC NĂNG</t>
  </si>
  <si>
    <t>Tên dự án:</t>
  </si>
  <si>
    <t>Người thực hiện</t>
  </si>
  <si>
    <t>STT</t>
  </si>
  <si>
    <t>Tên chức năng chính</t>
  </si>
  <si>
    <t>Tên chức năng con</t>
  </si>
  <si>
    <t>Môi trường triển khai</t>
  </si>
  <si>
    <t>DANH SÁCH ĐỘ ĐO</t>
  </si>
  <si>
    <t>Web</t>
  </si>
  <si>
    <t>Mobile</t>
  </si>
  <si>
    <t>C1</t>
  </si>
  <si>
    <t>W1</t>
  </si>
  <si>
    <t>C2</t>
  </si>
  <si>
    <t>W2</t>
  </si>
  <si>
    <t>C3</t>
  </si>
  <si>
    <t>W3</t>
  </si>
  <si>
    <t>C4</t>
  </si>
  <si>
    <t>W4</t>
  </si>
  <si>
    <t>C5</t>
  </si>
  <si>
    <t>W5</t>
  </si>
  <si>
    <t>Authentication &amp; Access</t>
  </si>
  <si>
    <t>Sign In</t>
  </si>
  <si>
    <t>X</t>
  </si>
  <si>
    <t>Sign Up</t>
  </si>
  <si>
    <t>User Profile</t>
  </si>
  <si>
    <t>View Profile</t>
  </si>
  <si>
    <t>Update Profile</t>
  </si>
  <si>
    <t>Recording</t>
  </si>
  <si>
    <t xml:space="preserve"> Record Audio</t>
  </si>
  <si>
    <t xml:space="preserve"> Import Audio</t>
  </si>
  <si>
    <t>Stop Recording</t>
  </si>
  <si>
    <t>Upload Recording</t>
  </si>
  <si>
    <t>Library Management</t>
  </si>
  <si>
    <t>View Audio</t>
  </si>
  <si>
    <t>View Pending Tasks</t>
  </si>
  <si>
    <t>Search Audio</t>
  </si>
  <si>
    <t>Filter Audio</t>
  </si>
  <si>
    <t xml:space="preserve">Summary </t>
  </si>
  <si>
    <t>Re-summarize</t>
  </si>
  <si>
    <t>View Summary</t>
  </si>
  <si>
    <t>Edit Summary</t>
  </si>
  <si>
    <t>Save Summary</t>
  </si>
  <si>
    <t>Update Action Item</t>
  </si>
  <si>
    <t>Transcription</t>
  </si>
  <si>
    <t>Update Transcription</t>
  </si>
  <si>
    <t>Transcribe Audio</t>
  </si>
  <si>
    <t>ChatBot</t>
  </si>
  <si>
    <t>Chat with AI</t>
  </si>
  <si>
    <t>User Management</t>
  </si>
  <si>
    <t>View User List</t>
  </si>
  <si>
    <t>View User Details</t>
  </si>
  <si>
    <t xml:space="preserve">Search User </t>
  </si>
  <si>
    <t>Update User Status</t>
  </si>
  <si>
    <t>Tổng</t>
  </si>
  <si>
    <t>Tính hệ số hiệu chỉnh (VAF)</t>
  </si>
  <si>
    <t>0.65 + 0.01×48 = 1.13</t>
  </si>
  <si>
    <t>Số lượng FP</t>
  </si>
  <si>
    <t>1.13 x 720 = 813.6</t>
  </si>
  <si>
    <t>Tổng số lượng</t>
  </si>
  <si>
    <t>Tên</t>
  </si>
  <si>
    <t>Giá trị</t>
  </si>
  <si>
    <t>Đơn vị</t>
  </si>
  <si>
    <t>Chi phí trả mỗi người/tháng</t>
  </si>
  <si>
    <t>USD</t>
  </si>
  <si>
    <t>Năng suất giả định</t>
  </si>
  <si>
    <t>FP/pm</t>
  </si>
  <si>
    <t>Chi phí mỗi FP</t>
  </si>
  <si>
    <t>FP</t>
  </si>
  <si>
    <t>Quy ra đơn vị pm</t>
  </si>
  <si>
    <t>pm</t>
  </si>
  <si>
    <t>Chi phí quy ra tiền USD</t>
  </si>
  <si>
    <t>Câu hỏi (Yếu tố kỹ thuật)</t>
  </si>
  <si>
    <t>Điểm (Fi)</t>
  </si>
  <si>
    <t>Lý do chọn</t>
  </si>
  <si>
    <t>Bảo đảm an toàn khi cập nhật &amp; cứu dữ liệu?</t>
  </si>
  <si>
    <t>Dữ liệu bản tóm tắt, audiocần tính toàn vẹn; cần phân quyền và tránh mất dữ liệu.</t>
  </si>
  <si>
    <t>Có đòi hỏi truyền thông không?</t>
  </si>
  <si>
    <t>Web app cần giao tiếp liên tục client–server; có AI assistant gọi dịch vụ ngoài.</t>
  </si>
  <si>
    <t>Có xử lý phân bố không?</t>
  </si>
  <si>
    <t>Mô hình client–server + gọi AI/QR; chưa đến mức phân tán phức tạp như nhiều node xử lý.</t>
  </si>
  <si>
    <t>Tốc độ có quan trọng không?</t>
  </si>
  <si>
    <t>Dashboard, lọc/tìm kiếm, truy xuất QR cần phản hồi nhanh nhưng không phải realtime cực hạn.</t>
  </si>
  <si>
    <t>Có đòi hỏi cấu hình mạnh?</t>
  </si>
  <si>
    <t>Cần DB + API ổn định; xử lý báo cáo/aggregation mức trung bình.</t>
  </si>
  <si>
    <t>Nhập dữ liệu có transaction?</t>
  </si>
  <si>
    <t>Có nhiều thao tác nhiều bước (cập nhật trạng thái) cần nhất quán.</t>
  </si>
  <si>
    <t>Dữ liệu lưu trữ cập nhật trực tuyến?</t>
  </si>
  <si>
    <t>Hầu hết nghiệp vụ đều update trực tuyến (task, summary, transcript).</t>
  </si>
  <si>
    <t>Nhập/xuất/truy vấn phức tạp?</t>
  </si>
  <si>
    <t>Có filter/sort nhiều tiêu chí, dashboard tổng hợp, report/export, truy xuất QR theo quyền.</t>
  </si>
  <si>
    <t>Xử lý bên trong phức tạp?</t>
  </si>
  <si>
    <t>Có logic cảnh báo (overdue/incidents); AI gợi ý theo ngữ cảnh.</t>
  </si>
  <si>
    <t>Mã nguồn cần thiết kế dùng lại?</t>
  </si>
  <si>
    <t>Nhiều module CRUD giống nhau, cần reusable components/services để giảm công.</t>
  </si>
  <si>
    <t>Chuyển đổi dữ liệu &amp; cài đặt có trong thiết kế?</t>
  </si>
  <si>
    <t>Có thể import seed (địa phương, tài liệu…) nhưng không phải trọng tâm chính.</t>
  </si>
  <si>
    <t>Dễ thay đổi &amp; dễ dùng?</t>
  </si>
  <si>
    <t>Người dùng chính là học sinh, người đi làm; UX cần dễ dùng; hệ thống cần dễ chỉnh rule/tham số.</t>
  </si>
  <si>
    <t>KẾT QUẢ TÍNH TOÁN ĐỘ ĐO CHỨC NĂNG CỦA PHẦN MỀM</t>
  </si>
  <si>
    <t>Stt</t>
  </si>
  <si>
    <t>Danh mục độ đo</t>
  </si>
  <si>
    <t>Tổng Số lượng</t>
  </si>
  <si>
    <t>Tổng chi phí hiệu chỉnh</t>
  </si>
  <si>
    <t>TỔNG CHI PHÍ PHÁT TRIỂN PHẦN MỀM (USD)</t>
  </si>
  <si>
    <t>Danh mục chi phí</t>
  </si>
  <si>
    <t>Tỷ lệ</t>
  </si>
  <si>
    <t>Thành tiền</t>
  </si>
  <si>
    <t>Chi phí BA</t>
  </si>
  <si>
    <t>Chi phí Dev</t>
  </si>
  <si>
    <t>Chi phí Testing</t>
  </si>
  <si>
    <t>Chi phí Training</t>
  </si>
  <si>
    <t>Chi phí khác</t>
  </si>
  <si>
    <t>Tổng chi phí dự 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</si>
</sst>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16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Arial"/>
    </font>
    <font>
      <b/>
      <sz val="10.0"/>
      <color rgb="FFFFFFFF"/>
      <name val="Arial"/>
    </font>
    <font>
      <b/>
      <sz val="10.0"/>
      <color theme="0"/>
      <name val="Arial"/>
    </font>
    <font/>
    <font>
      <sz val="10.0"/>
      <color theme="1"/>
      <name val="Arial"/>
    </font>
    <font>
      <sz val="10.0"/>
      <color theme="1"/>
      <name val="Quattrocento Sans"/>
    </font>
    <font>
      <sz val="10.0"/>
      <color rgb="FF000000"/>
      <name val="Arial"/>
    </font>
    <font>
      <color rgb="FF374151"/>
      <name val="&quot;Segoe WPC&quot;"/>
    </font>
    <font>
      <color theme="1"/>
      <name val="&quot;Segoe WPC&quot;"/>
    </font>
    <font>
      <color theme="1"/>
      <name val="Arial"/>
      <scheme val="minor"/>
    </font>
    <font>
      <b/>
      <sz val="10.0"/>
      <color theme="1"/>
      <name val="Arial"/>
    </font>
    <font>
      <b/>
      <sz val="12.0"/>
      <color rgb="FFFFFFFF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1.0"/>
      <color rgb="FF000000"/>
      <name val="&quot;Aptos Narrow&quot;"/>
    </font>
    <font>
      <sz val="11.0"/>
      <color rgb="FF000000"/>
      <name val="Arial"/>
    </font>
    <font>
      <sz val="14.0"/>
      <color rgb="FF000000"/>
      <name val="Arial"/>
    </font>
    <font>
      <b/>
      <sz val="14.0"/>
      <color theme="1"/>
      <name val="Times New Roman"/>
    </font>
    <font>
      <b/>
      <sz val="14.0"/>
      <color rgb="FF000000"/>
      <name val="Times New Roman"/>
    </font>
    <font>
      <sz val="14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2F9299"/>
        <bgColor rgb="FF2F92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81838E"/>
      </left>
      <right style="thin">
        <color rgb="FF81838E"/>
      </right>
      <top style="thin">
        <color rgb="FF81838E"/>
      </top>
      <bottom style="thin">
        <color rgb="FF81838E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Border="1" applyFont="1"/>
    <xf borderId="0" fillId="0" fontId="4" numFmtId="0" xfId="0" applyAlignment="1" applyFont="1">
      <alignment horizontal="left" shrinkToFit="0" wrapText="1"/>
    </xf>
    <xf borderId="2" fillId="2" fontId="5" numFmtId="0" xfId="0" applyAlignment="1" applyBorder="1" applyFill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right"/>
    </xf>
    <xf borderId="1" fillId="0" fontId="8" numFmtId="0" xfId="0" applyBorder="1" applyFont="1"/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Border="1" applyFont="1"/>
    <xf borderId="4" fillId="0" fontId="8" numFmtId="0" xfId="0" applyAlignment="1" applyBorder="1" applyFont="1">
      <alignment horizontal="center"/>
    </xf>
    <xf borderId="9" fillId="3" fontId="11" numFmtId="0" xfId="0" applyAlignment="1" applyBorder="1" applyFill="1" applyFont="1">
      <alignment horizontal="center" readingOrder="0"/>
    </xf>
    <xf borderId="0" fillId="3" fontId="12" numFmtId="0" xfId="0" applyAlignment="1" applyFont="1">
      <alignment horizontal="left" readingOrder="0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3" fillId="0" fontId="8" numFmtId="0" xfId="0" applyAlignment="1" applyBorder="1" applyFont="1">
      <alignment horizontal="right" readingOrder="0"/>
    </xf>
    <xf borderId="0" fillId="0" fontId="14" numFmtId="0" xfId="0" applyFont="1"/>
    <xf borderId="0" fillId="0" fontId="8" numFmtId="0" xfId="0" applyFont="1"/>
    <xf borderId="1" fillId="2" fontId="15" numFmtId="0" xfId="0" applyBorder="1" applyFont="1"/>
    <xf borderId="1" fillId="2" fontId="16" numFmtId="0" xfId="0" applyAlignment="1" applyBorder="1" applyFont="1">
      <alignment horizontal="center"/>
    </xf>
    <xf borderId="10" fillId="3" fontId="8" numFmtId="0" xfId="0" applyBorder="1" applyFont="1"/>
    <xf borderId="1" fillId="0" fontId="16" numFmtId="0" xfId="0" applyBorder="1" applyFont="1"/>
    <xf borderId="1" fillId="0" fontId="2" numFmtId="0" xfId="0" applyAlignment="1" applyBorder="1" applyFont="1">
      <alignment horizontal="center" readingOrder="0" shrinkToFit="0" wrapText="1"/>
    </xf>
    <xf borderId="1" fillId="4" fontId="2" numFmtId="0" xfId="0" applyBorder="1" applyFill="1" applyFont="1"/>
    <xf borderId="1" fillId="0" fontId="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right" shrinkToFit="0" vertical="center" wrapText="1"/>
    </xf>
    <xf borderId="1" fillId="0" fontId="3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right" readingOrder="0"/>
    </xf>
    <xf borderId="0" fillId="0" fontId="3" numFmtId="0" xfId="0" applyFont="1"/>
    <xf borderId="1" fillId="0" fontId="3" numFmtId="3" xfId="0" applyBorder="1" applyFont="1" applyNumberFormat="1"/>
    <xf borderId="0" fillId="0" fontId="10" numFmtId="0" xfId="0" applyAlignment="1" applyFont="1">
      <alignment shrinkToFit="0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right"/>
    </xf>
    <xf borderId="1" fillId="0" fontId="18" numFmtId="0" xfId="0" applyBorder="1" applyFont="1"/>
    <xf borderId="1" fillId="0" fontId="19" numFmtId="0" xfId="0" applyAlignment="1" applyBorder="1" applyFont="1">
      <alignment readingOrder="0"/>
    </xf>
    <xf borderId="1" fillId="0" fontId="2" numFmtId="0" xfId="0" applyAlignment="1" applyBorder="1" applyFont="1">
      <alignment horizontal="right" shrinkToFit="0" wrapText="1"/>
    </xf>
    <xf borderId="0" fillId="0" fontId="17" numFmtId="0" xfId="0" applyAlignment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vertical="center"/>
    </xf>
    <xf borderId="1" fillId="0" fontId="20" numFmtId="0" xfId="0" applyBorder="1" applyFont="1"/>
    <xf borderId="0" fillId="0" fontId="10" numFmtId="0" xfId="0" applyFont="1"/>
    <xf borderId="0" fillId="0" fontId="20" numFmtId="4" xfId="0" applyFont="1" applyNumberFormat="1"/>
    <xf borderId="0" fillId="0" fontId="22" numFmtId="0" xfId="0" applyAlignment="1" applyFont="1">
      <alignment horizontal="center" shrinkToFit="0" vertical="center" wrapText="1"/>
    </xf>
    <xf borderId="0" fillId="0" fontId="23" numFmtId="0" xfId="0" applyFont="1"/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9" xfId="0" applyBorder="1" applyFont="1" applyNumberFormat="1"/>
    <xf borderId="1" fillId="0" fontId="3" numFmtId="4" xfId="0" applyBorder="1" applyFont="1" applyNumberFormat="1"/>
    <xf borderId="1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/>
    </xf>
    <xf borderId="1" fillId="0" fontId="3" numFmtId="4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32.63"/>
    <col customWidth="1" min="3" max="3" width="44.75"/>
    <col customWidth="1" min="4" max="4" width="11.75"/>
    <col customWidth="1" min="5" max="5" width="7.88"/>
    <col customWidth="1" min="6" max="6" width="3.75"/>
    <col customWidth="1" min="7" max="7" width="4.38"/>
    <col customWidth="1" min="8" max="8" width="3.75"/>
    <col customWidth="1" min="9" max="9" width="4.38"/>
    <col customWidth="1" min="10" max="10" width="3.75"/>
    <col customWidth="1" min="11" max="11" width="4.38"/>
    <col customWidth="1" min="12" max="12" width="3.75"/>
    <col customWidth="1" min="13" max="13" width="4.38"/>
    <col customWidth="1" min="14" max="14" width="3.75"/>
    <col customWidth="1" min="15" max="15" width="4.38"/>
  </cols>
  <sheetData>
    <row r="1" ht="48.0" customHeight="1">
      <c r="A1" s="1" t="s">
        <v>0</v>
      </c>
    </row>
    <row r="2" ht="15.75" customHeight="1">
      <c r="A2" s="2" t="s">
        <v>1</v>
      </c>
      <c r="B2" s="3"/>
      <c r="C2" s="4"/>
    </row>
    <row r="3" ht="15.75" customHeight="1">
      <c r="A3" s="2" t="s">
        <v>2</v>
      </c>
      <c r="B3" s="3"/>
      <c r="C3" s="4"/>
    </row>
    <row r="4" ht="15.75" customHeight="1">
      <c r="C4" s="4"/>
    </row>
    <row r="5">
      <c r="A5" s="5" t="s">
        <v>3</v>
      </c>
      <c r="B5" s="5" t="s">
        <v>4</v>
      </c>
      <c r="C5" s="5" t="s">
        <v>5</v>
      </c>
      <c r="D5" s="6" t="s">
        <v>6</v>
      </c>
      <c r="E5" s="7"/>
      <c r="F5" s="6" t="s">
        <v>7</v>
      </c>
      <c r="G5" s="8"/>
      <c r="H5" s="8"/>
      <c r="I5" s="8"/>
      <c r="J5" s="8"/>
      <c r="K5" s="8"/>
      <c r="L5" s="8"/>
      <c r="M5" s="8"/>
      <c r="N5" s="8"/>
      <c r="O5" s="7"/>
    </row>
    <row r="6">
      <c r="A6" s="9"/>
      <c r="B6" s="10"/>
      <c r="C6" s="10"/>
      <c r="D6" s="11" t="s">
        <v>8</v>
      </c>
      <c r="E6" s="12" t="s">
        <v>9</v>
      </c>
      <c r="F6" s="12" t="s">
        <v>10</v>
      </c>
      <c r="G6" s="12" t="s">
        <v>11</v>
      </c>
      <c r="H6" s="12" t="s">
        <v>12</v>
      </c>
      <c r="I6" s="12" t="s">
        <v>13</v>
      </c>
      <c r="J6" s="12" t="s">
        <v>14</v>
      </c>
      <c r="K6" s="12" t="s">
        <v>15</v>
      </c>
      <c r="L6" s="12" t="s">
        <v>16</v>
      </c>
      <c r="M6" s="12" t="s">
        <v>17</v>
      </c>
      <c r="N6" s="12" t="s">
        <v>18</v>
      </c>
      <c r="O6" s="12" t="s">
        <v>19</v>
      </c>
    </row>
    <row r="7">
      <c r="A7" s="13">
        <v>1.0</v>
      </c>
      <c r="B7" s="14" t="s">
        <v>20</v>
      </c>
      <c r="C7" s="15" t="s">
        <v>21</v>
      </c>
      <c r="D7" s="16"/>
      <c r="E7" s="17" t="s">
        <v>22</v>
      </c>
      <c r="F7" s="18">
        <v>1.0</v>
      </c>
      <c r="G7" s="18">
        <v>4.0</v>
      </c>
      <c r="H7" s="18">
        <v>1.0</v>
      </c>
      <c r="I7" s="18">
        <v>5.0</v>
      </c>
      <c r="J7" s="18">
        <v>0.0</v>
      </c>
      <c r="K7" s="18">
        <v>4.0</v>
      </c>
      <c r="L7" s="18">
        <v>0.0</v>
      </c>
      <c r="M7" s="18">
        <v>10.0</v>
      </c>
      <c r="N7" s="18">
        <v>0.0</v>
      </c>
      <c r="O7" s="18">
        <v>7.0</v>
      </c>
      <c r="T7" s="19"/>
    </row>
    <row r="8">
      <c r="A8" s="13">
        <v>2.0</v>
      </c>
      <c r="B8" s="14" t="s">
        <v>20</v>
      </c>
      <c r="C8" s="20" t="s">
        <v>23</v>
      </c>
      <c r="D8" s="16"/>
      <c r="E8" s="17" t="s">
        <v>22</v>
      </c>
      <c r="F8" s="18">
        <v>1.0</v>
      </c>
      <c r="G8" s="18">
        <v>4.0</v>
      </c>
      <c r="H8" s="18">
        <v>1.0</v>
      </c>
      <c r="I8" s="18">
        <v>5.0</v>
      </c>
      <c r="J8" s="18">
        <v>0.0</v>
      </c>
      <c r="K8" s="18">
        <v>4.0</v>
      </c>
      <c r="L8" s="18">
        <v>1.0</v>
      </c>
      <c r="M8" s="18">
        <v>10.0</v>
      </c>
      <c r="N8" s="18">
        <v>0.0</v>
      </c>
      <c r="O8" s="18">
        <v>7.0</v>
      </c>
      <c r="T8" s="19"/>
    </row>
    <row r="9">
      <c r="A9" s="13">
        <v>3.0</v>
      </c>
      <c r="B9" s="14" t="s">
        <v>24</v>
      </c>
      <c r="C9" s="15" t="s">
        <v>25</v>
      </c>
      <c r="D9" s="16"/>
      <c r="E9" s="17" t="s">
        <v>22</v>
      </c>
      <c r="F9" s="18">
        <v>0.0</v>
      </c>
      <c r="G9" s="18">
        <v>4.0</v>
      </c>
      <c r="H9" s="18">
        <v>0.0</v>
      </c>
      <c r="I9" s="18">
        <v>5.0</v>
      </c>
      <c r="J9" s="18">
        <v>1.0</v>
      </c>
      <c r="K9" s="18">
        <v>4.0</v>
      </c>
      <c r="L9" s="18">
        <v>0.0</v>
      </c>
      <c r="M9" s="18">
        <v>10.0</v>
      </c>
      <c r="N9" s="18">
        <v>0.0</v>
      </c>
      <c r="O9" s="18">
        <v>7.0</v>
      </c>
      <c r="T9" s="19"/>
    </row>
    <row r="10">
      <c r="A10" s="13">
        <v>4.0</v>
      </c>
      <c r="B10" s="14" t="s">
        <v>24</v>
      </c>
      <c r="C10" s="15" t="s">
        <v>26</v>
      </c>
      <c r="D10" s="16"/>
      <c r="E10" s="17" t="s">
        <v>22</v>
      </c>
      <c r="F10" s="18">
        <v>1.0</v>
      </c>
      <c r="G10" s="18">
        <v>4.0</v>
      </c>
      <c r="H10" s="18">
        <v>1.0</v>
      </c>
      <c r="I10" s="18">
        <v>5.0</v>
      </c>
      <c r="J10" s="18">
        <v>0.0</v>
      </c>
      <c r="K10" s="18">
        <v>4.0</v>
      </c>
      <c r="L10" s="18">
        <v>0.0</v>
      </c>
      <c r="M10" s="18">
        <v>10.0</v>
      </c>
      <c r="N10" s="18">
        <v>0.0</v>
      </c>
      <c r="O10" s="18">
        <v>7.0</v>
      </c>
      <c r="T10" s="19"/>
    </row>
    <row r="11">
      <c r="A11" s="13">
        <v>5.0</v>
      </c>
      <c r="B11" s="14" t="s">
        <v>27</v>
      </c>
      <c r="C11" s="15" t="s">
        <v>28</v>
      </c>
      <c r="D11" s="16"/>
      <c r="E11" s="17" t="s">
        <v>22</v>
      </c>
      <c r="F11" s="18">
        <v>1.0</v>
      </c>
      <c r="G11" s="18">
        <v>4.0</v>
      </c>
      <c r="H11" s="18">
        <v>1.0</v>
      </c>
      <c r="I11" s="18">
        <v>5.0</v>
      </c>
      <c r="J11" s="18">
        <v>0.0</v>
      </c>
      <c r="K11" s="18">
        <v>4.0</v>
      </c>
      <c r="L11" s="18">
        <v>0.0</v>
      </c>
      <c r="M11" s="18">
        <v>10.0</v>
      </c>
      <c r="N11" s="18">
        <v>0.0</v>
      </c>
      <c r="O11" s="18">
        <v>7.0</v>
      </c>
      <c r="T11" s="19"/>
    </row>
    <row r="12">
      <c r="A12" s="13">
        <v>6.0</v>
      </c>
      <c r="B12" s="14" t="s">
        <v>27</v>
      </c>
      <c r="C12" s="15" t="s">
        <v>29</v>
      </c>
      <c r="D12" s="16"/>
      <c r="E12" s="17" t="s">
        <v>22</v>
      </c>
      <c r="F12" s="18">
        <v>1.0</v>
      </c>
      <c r="G12" s="18">
        <v>4.0</v>
      </c>
      <c r="H12" s="18">
        <v>1.0</v>
      </c>
      <c r="I12" s="18">
        <v>5.0</v>
      </c>
      <c r="J12" s="18">
        <v>0.0</v>
      </c>
      <c r="K12" s="18">
        <v>4.0</v>
      </c>
      <c r="L12" s="18">
        <v>1.0</v>
      </c>
      <c r="M12" s="18">
        <v>10.0</v>
      </c>
      <c r="N12" s="18">
        <v>1.0</v>
      </c>
      <c r="O12" s="18">
        <v>7.0</v>
      </c>
      <c r="T12" s="19"/>
    </row>
    <row r="13">
      <c r="A13" s="13">
        <v>7.0</v>
      </c>
      <c r="B13" s="14" t="s">
        <v>27</v>
      </c>
      <c r="C13" s="20" t="s">
        <v>30</v>
      </c>
      <c r="D13" s="16"/>
      <c r="E13" s="17" t="s">
        <v>22</v>
      </c>
      <c r="F13" s="18">
        <v>1.0</v>
      </c>
      <c r="G13" s="18">
        <v>4.0</v>
      </c>
      <c r="H13" s="18">
        <v>1.0</v>
      </c>
      <c r="I13" s="18">
        <v>5.0</v>
      </c>
      <c r="J13" s="18">
        <v>0.0</v>
      </c>
      <c r="K13" s="18">
        <v>4.0</v>
      </c>
      <c r="L13" s="18">
        <v>1.0</v>
      </c>
      <c r="M13" s="18">
        <v>10.0</v>
      </c>
      <c r="N13" s="18">
        <v>0.0</v>
      </c>
      <c r="O13" s="18">
        <v>7.0</v>
      </c>
      <c r="T13" s="19"/>
    </row>
    <row r="14">
      <c r="A14" s="13">
        <v>8.0</v>
      </c>
      <c r="B14" s="14" t="s">
        <v>27</v>
      </c>
      <c r="C14" s="20" t="s">
        <v>31</v>
      </c>
      <c r="D14" s="16"/>
      <c r="E14" s="17" t="s">
        <v>22</v>
      </c>
      <c r="F14" s="18">
        <v>1.0</v>
      </c>
      <c r="G14" s="18">
        <v>4.0</v>
      </c>
      <c r="H14" s="18">
        <v>1.0</v>
      </c>
      <c r="I14" s="18">
        <v>5.0</v>
      </c>
      <c r="J14" s="18">
        <v>0.0</v>
      </c>
      <c r="K14" s="18">
        <v>4.0</v>
      </c>
      <c r="L14" s="18">
        <v>0.0</v>
      </c>
      <c r="M14" s="18">
        <v>10.0</v>
      </c>
      <c r="N14" s="18">
        <v>1.0</v>
      </c>
      <c r="O14" s="18">
        <v>7.0</v>
      </c>
      <c r="T14" s="19"/>
    </row>
    <row r="15">
      <c r="A15" s="13">
        <v>9.0</v>
      </c>
      <c r="B15" s="14" t="s">
        <v>32</v>
      </c>
      <c r="C15" s="21" t="s">
        <v>33</v>
      </c>
      <c r="D15" s="16"/>
      <c r="E15" s="17" t="s">
        <v>22</v>
      </c>
      <c r="F15" s="18">
        <v>0.0</v>
      </c>
      <c r="G15" s="18">
        <v>4.0</v>
      </c>
      <c r="H15" s="18">
        <v>0.0</v>
      </c>
      <c r="I15" s="18">
        <v>5.0</v>
      </c>
      <c r="J15" s="18">
        <v>1.0</v>
      </c>
      <c r="K15" s="18">
        <v>4.0</v>
      </c>
      <c r="L15" s="18">
        <v>0.0</v>
      </c>
      <c r="M15" s="18">
        <v>10.0</v>
      </c>
      <c r="N15" s="18">
        <v>0.0</v>
      </c>
      <c r="O15" s="18">
        <v>7.0</v>
      </c>
      <c r="T15" s="19"/>
    </row>
    <row r="16">
      <c r="A16" s="13">
        <v>10.0</v>
      </c>
      <c r="B16" s="14" t="s">
        <v>32</v>
      </c>
      <c r="C16" s="15" t="s">
        <v>34</v>
      </c>
      <c r="D16" s="16"/>
      <c r="E16" s="17" t="s">
        <v>22</v>
      </c>
      <c r="F16" s="18">
        <v>0.0</v>
      </c>
      <c r="G16" s="18">
        <v>4.0</v>
      </c>
      <c r="H16" s="18">
        <v>0.0</v>
      </c>
      <c r="I16" s="18">
        <v>5.0</v>
      </c>
      <c r="J16" s="18">
        <v>1.0</v>
      </c>
      <c r="K16" s="18">
        <v>4.0</v>
      </c>
      <c r="L16" s="18">
        <v>0.0</v>
      </c>
      <c r="M16" s="18">
        <v>10.0</v>
      </c>
      <c r="N16" s="18">
        <v>0.0</v>
      </c>
      <c r="O16" s="18">
        <v>7.0</v>
      </c>
      <c r="T16" s="19"/>
    </row>
    <row r="17">
      <c r="A17" s="13">
        <v>11.0</v>
      </c>
      <c r="B17" s="14" t="s">
        <v>32</v>
      </c>
      <c r="C17" s="20" t="s">
        <v>35</v>
      </c>
      <c r="D17" s="16"/>
      <c r="E17" s="17" t="s">
        <v>22</v>
      </c>
      <c r="F17" s="18">
        <v>0.0</v>
      </c>
      <c r="G17" s="18">
        <v>4.0</v>
      </c>
      <c r="H17" s="18">
        <v>0.0</v>
      </c>
      <c r="I17" s="18">
        <v>5.0</v>
      </c>
      <c r="J17" s="18">
        <v>1.0</v>
      </c>
      <c r="K17" s="18">
        <v>4.0</v>
      </c>
      <c r="L17" s="18">
        <v>0.0</v>
      </c>
      <c r="M17" s="18">
        <v>10.0</v>
      </c>
      <c r="N17" s="18">
        <v>0.0</v>
      </c>
      <c r="O17" s="18">
        <v>7.0</v>
      </c>
      <c r="T17" s="19"/>
    </row>
    <row r="18">
      <c r="A18" s="13">
        <v>12.0</v>
      </c>
      <c r="B18" s="14" t="s">
        <v>32</v>
      </c>
      <c r="C18" s="15" t="s">
        <v>36</v>
      </c>
      <c r="D18" s="16"/>
      <c r="E18" s="17" t="s">
        <v>22</v>
      </c>
      <c r="F18" s="18">
        <v>0.0</v>
      </c>
      <c r="G18" s="18">
        <v>4.0</v>
      </c>
      <c r="H18" s="18">
        <v>0.0</v>
      </c>
      <c r="I18" s="18">
        <v>5.0</v>
      </c>
      <c r="J18" s="18">
        <v>1.0</v>
      </c>
      <c r="K18" s="18">
        <v>4.0</v>
      </c>
      <c r="L18" s="18">
        <v>0.0</v>
      </c>
      <c r="M18" s="18">
        <v>10.0</v>
      </c>
      <c r="N18" s="18">
        <v>0.0</v>
      </c>
      <c r="O18" s="18">
        <v>7.0</v>
      </c>
      <c r="T18" s="19"/>
    </row>
    <row r="19">
      <c r="A19" s="13">
        <v>13.0</v>
      </c>
      <c r="B19" s="14" t="s">
        <v>37</v>
      </c>
      <c r="C19" s="15" t="s">
        <v>38</v>
      </c>
      <c r="D19" s="16"/>
      <c r="E19" s="17" t="s">
        <v>22</v>
      </c>
      <c r="F19" s="18">
        <v>1.0</v>
      </c>
      <c r="G19" s="18">
        <v>4.0</v>
      </c>
      <c r="H19" s="18">
        <v>1.0</v>
      </c>
      <c r="I19" s="18">
        <v>5.0</v>
      </c>
      <c r="J19" s="18">
        <v>0.0</v>
      </c>
      <c r="K19" s="18">
        <v>4.0</v>
      </c>
      <c r="L19" s="18">
        <v>0.0</v>
      </c>
      <c r="M19" s="18">
        <v>10.0</v>
      </c>
      <c r="N19" s="18">
        <v>1.0</v>
      </c>
      <c r="O19" s="18">
        <v>7.0</v>
      </c>
      <c r="T19" s="19"/>
    </row>
    <row r="20">
      <c r="A20" s="13">
        <v>14.0</v>
      </c>
      <c r="B20" s="14" t="s">
        <v>37</v>
      </c>
      <c r="C20" s="20" t="s">
        <v>39</v>
      </c>
      <c r="D20" s="16"/>
      <c r="E20" s="17" t="s">
        <v>22</v>
      </c>
      <c r="F20" s="18">
        <v>0.0</v>
      </c>
      <c r="G20" s="18">
        <v>4.0</v>
      </c>
      <c r="H20" s="18">
        <v>0.0</v>
      </c>
      <c r="I20" s="18">
        <v>5.0</v>
      </c>
      <c r="J20" s="18">
        <v>1.0</v>
      </c>
      <c r="K20" s="18">
        <v>4.0</v>
      </c>
      <c r="L20" s="18">
        <v>0.0</v>
      </c>
      <c r="M20" s="18">
        <v>10.0</v>
      </c>
      <c r="N20" s="18">
        <v>0.0</v>
      </c>
      <c r="O20" s="18">
        <v>7.0</v>
      </c>
      <c r="T20" s="19"/>
    </row>
    <row r="21">
      <c r="A21" s="13">
        <v>15.0</v>
      </c>
      <c r="B21" s="14" t="s">
        <v>37</v>
      </c>
      <c r="C21" s="20" t="s">
        <v>40</v>
      </c>
      <c r="D21" s="16"/>
      <c r="E21" s="17" t="s">
        <v>22</v>
      </c>
      <c r="F21" s="18">
        <v>1.0</v>
      </c>
      <c r="G21" s="18">
        <v>4.0</v>
      </c>
      <c r="H21" s="18">
        <v>0.0</v>
      </c>
      <c r="I21" s="18">
        <v>5.0</v>
      </c>
      <c r="J21" s="18">
        <v>0.0</v>
      </c>
      <c r="K21" s="18">
        <v>4.0</v>
      </c>
      <c r="L21" s="18">
        <v>0.0</v>
      </c>
      <c r="M21" s="18">
        <v>10.0</v>
      </c>
      <c r="N21" s="18">
        <v>0.0</v>
      </c>
      <c r="O21" s="18">
        <v>7.0</v>
      </c>
      <c r="T21" s="19"/>
    </row>
    <row r="22">
      <c r="A22" s="13">
        <v>16.0</v>
      </c>
      <c r="B22" s="14" t="s">
        <v>37</v>
      </c>
      <c r="C22" s="20" t="s">
        <v>41</v>
      </c>
      <c r="D22" s="16"/>
      <c r="E22" s="17" t="s">
        <v>22</v>
      </c>
      <c r="F22" s="18">
        <v>1.0</v>
      </c>
      <c r="G22" s="18">
        <v>4.0</v>
      </c>
      <c r="H22" s="18">
        <v>1.0</v>
      </c>
      <c r="I22" s="18">
        <v>5.0</v>
      </c>
      <c r="J22" s="18">
        <v>0.0</v>
      </c>
      <c r="K22" s="18">
        <v>4.0</v>
      </c>
      <c r="L22" s="18">
        <v>1.0</v>
      </c>
      <c r="M22" s="18">
        <v>10.0</v>
      </c>
      <c r="N22" s="18">
        <v>0.0</v>
      </c>
      <c r="O22" s="18">
        <v>7.0</v>
      </c>
      <c r="T22" s="19"/>
    </row>
    <row r="23">
      <c r="A23" s="13">
        <v>17.0</v>
      </c>
      <c r="B23" s="14" t="s">
        <v>37</v>
      </c>
      <c r="C23" s="20" t="s">
        <v>42</v>
      </c>
      <c r="D23" s="16"/>
      <c r="E23" s="17" t="s">
        <v>22</v>
      </c>
      <c r="F23" s="18">
        <v>1.0</v>
      </c>
      <c r="G23" s="18">
        <v>4.0</v>
      </c>
      <c r="H23" s="18">
        <v>1.0</v>
      </c>
      <c r="I23" s="18">
        <v>5.0</v>
      </c>
      <c r="J23" s="18">
        <v>0.0</v>
      </c>
      <c r="K23" s="18">
        <v>4.0</v>
      </c>
      <c r="L23" s="18">
        <v>0.0</v>
      </c>
      <c r="M23" s="18">
        <v>10.0</v>
      </c>
      <c r="N23" s="18">
        <v>0.0</v>
      </c>
      <c r="O23" s="18">
        <v>7.0</v>
      </c>
      <c r="T23" s="19"/>
    </row>
    <row r="24">
      <c r="A24" s="13">
        <v>18.0</v>
      </c>
      <c r="B24" s="22" t="s">
        <v>43</v>
      </c>
      <c r="C24" s="20" t="s">
        <v>44</v>
      </c>
      <c r="D24" s="16"/>
      <c r="E24" s="17" t="s">
        <v>22</v>
      </c>
      <c r="F24" s="18">
        <v>1.0</v>
      </c>
      <c r="G24" s="18">
        <v>4.0</v>
      </c>
      <c r="H24" s="18">
        <v>1.0</v>
      </c>
      <c r="I24" s="18">
        <v>5.0</v>
      </c>
      <c r="J24" s="18">
        <v>0.0</v>
      </c>
      <c r="K24" s="18">
        <v>4.0</v>
      </c>
      <c r="L24" s="18">
        <v>0.0</v>
      </c>
      <c r="M24" s="18">
        <v>10.0</v>
      </c>
      <c r="N24" s="18">
        <v>0.0</v>
      </c>
      <c r="O24" s="18">
        <v>7.0</v>
      </c>
      <c r="T24" s="19"/>
    </row>
    <row r="25">
      <c r="A25" s="13">
        <v>19.0</v>
      </c>
      <c r="B25" s="22" t="s">
        <v>43</v>
      </c>
      <c r="C25" s="20" t="s">
        <v>45</v>
      </c>
      <c r="D25" s="16"/>
      <c r="E25" s="17" t="s">
        <v>22</v>
      </c>
      <c r="F25" s="18">
        <v>1.0</v>
      </c>
      <c r="G25" s="18">
        <v>4.0</v>
      </c>
      <c r="H25" s="18">
        <v>1.0</v>
      </c>
      <c r="I25" s="18">
        <v>5.0</v>
      </c>
      <c r="J25" s="18">
        <v>0.0</v>
      </c>
      <c r="K25" s="18">
        <v>4.0</v>
      </c>
      <c r="L25" s="18">
        <v>1.0</v>
      </c>
      <c r="M25" s="18">
        <v>10.0</v>
      </c>
      <c r="N25" s="18">
        <v>1.0</v>
      </c>
      <c r="O25" s="18">
        <v>7.0</v>
      </c>
      <c r="T25" s="19"/>
    </row>
    <row r="26">
      <c r="A26" s="13">
        <v>20.0</v>
      </c>
      <c r="B26" s="22" t="s">
        <v>46</v>
      </c>
      <c r="C26" s="20" t="s">
        <v>47</v>
      </c>
      <c r="D26" s="16"/>
      <c r="E26" s="17" t="s">
        <v>22</v>
      </c>
      <c r="F26" s="18">
        <v>1.0</v>
      </c>
      <c r="G26" s="18">
        <v>4.0</v>
      </c>
      <c r="H26" s="18">
        <v>1.0</v>
      </c>
      <c r="I26" s="18">
        <v>5.0</v>
      </c>
      <c r="J26" s="18">
        <v>0.0</v>
      </c>
      <c r="K26" s="18">
        <v>4.0</v>
      </c>
      <c r="L26" s="18">
        <v>0.0</v>
      </c>
      <c r="M26" s="18">
        <v>10.0</v>
      </c>
      <c r="N26" s="18">
        <v>1.0</v>
      </c>
      <c r="O26" s="18">
        <v>7.0</v>
      </c>
      <c r="T26" s="19"/>
    </row>
    <row r="27">
      <c r="A27" s="13">
        <v>21.0</v>
      </c>
      <c r="B27" s="22" t="s">
        <v>48</v>
      </c>
      <c r="C27" s="20" t="s">
        <v>49</v>
      </c>
      <c r="D27" s="16"/>
      <c r="E27" s="17" t="s">
        <v>22</v>
      </c>
      <c r="F27" s="18">
        <v>0.0</v>
      </c>
      <c r="G27" s="18">
        <v>4.0</v>
      </c>
      <c r="H27" s="18">
        <v>0.0</v>
      </c>
      <c r="I27" s="18">
        <v>5.0</v>
      </c>
      <c r="J27" s="18">
        <v>1.0</v>
      </c>
      <c r="K27" s="18">
        <v>4.0</v>
      </c>
      <c r="L27" s="18">
        <v>0.0</v>
      </c>
      <c r="M27" s="18">
        <v>10.0</v>
      </c>
      <c r="N27" s="18">
        <v>0.0</v>
      </c>
      <c r="O27" s="18">
        <v>7.0</v>
      </c>
      <c r="T27" s="19"/>
    </row>
    <row r="28">
      <c r="A28" s="13">
        <v>22.0</v>
      </c>
      <c r="B28" s="22" t="s">
        <v>48</v>
      </c>
      <c r="C28" s="20" t="s">
        <v>50</v>
      </c>
      <c r="D28" s="16"/>
      <c r="E28" s="17" t="s">
        <v>22</v>
      </c>
      <c r="F28" s="18">
        <v>0.0</v>
      </c>
      <c r="G28" s="18">
        <v>4.0</v>
      </c>
      <c r="H28" s="18">
        <v>0.0</v>
      </c>
      <c r="I28" s="18">
        <v>5.0</v>
      </c>
      <c r="J28" s="18">
        <v>1.0</v>
      </c>
      <c r="K28" s="18">
        <v>4.0</v>
      </c>
      <c r="L28" s="18">
        <v>0.0</v>
      </c>
      <c r="M28" s="18">
        <v>10.0</v>
      </c>
      <c r="N28" s="18">
        <v>0.0</v>
      </c>
      <c r="O28" s="18">
        <v>7.0</v>
      </c>
      <c r="T28" s="19"/>
    </row>
    <row r="29">
      <c r="A29" s="23">
        <v>23.0</v>
      </c>
      <c r="B29" s="22" t="s">
        <v>48</v>
      </c>
      <c r="C29" s="20" t="s">
        <v>51</v>
      </c>
      <c r="D29" s="16"/>
      <c r="E29" s="17" t="s">
        <v>22</v>
      </c>
      <c r="F29" s="18">
        <v>0.0</v>
      </c>
      <c r="G29" s="18">
        <v>4.0</v>
      </c>
      <c r="H29" s="18">
        <v>0.0</v>
      </c>
      <c r="I29" s="18">
        <v>5.0</v>
      </c>
      <c r="J29" s="18">
        <v>1.0</v>
      </c>
      <c r="K29" s="18">
        <v>4.0</v>
      </c>
      <c r="L29" s="18">
        <v>0.0</v>
      </c>
      <c r="M29" s="18">
        <v>10.0</v>
      </c>
      <c r="N29" s="18">
        <v>0.0</v>
      </c>
      <c r="O29" s="18">
        <v>7.0</v>
      </c>
      <c r="T29" s="19"/>
    </row>
    <row r="30">
      <c r="A30" s="23">
        <v>24.0</v>
      </c>
      <c r="B30" s="22" t="s">
        <v>48</v>
      </c>
      <c r="C30" s="20" t="s">
        <v>52</v>
      </c>
      <c r="D30" s="16"/>
      <c r="E30" s="17" t="s">
        <v>22</v>
      </c>
      <c r="F30" s="18">
        <v>1.0</v>
      </c>
      <c r="G30" s="18">
        <v>4.0</v>
      </c>
      <c r="H30" s="18">
        <v>1.0</v>
      </c>
      <c r="I30" s="18">
        <v>5.0</v>
      </c>
      <c r="J30" s="18">
        <v>0.0</v>
      </c>
      <c r="K30" s="18">
        <v>4.0</v>
      </c>
      <c r="L30" s="18">
        <v>0.0</v>
      </c>
      <c r="M30" s="18">
        <v>10.0</v>
      </c>
      <c r="N30" s="18">
        <v>0.0</v>
      </c>
      <c r="O30" s="18">
        <v>7.0</v>
      </c>
    </row>
    <row r="31" ht="15.75" customHeight="1">
      <c r="B31" s="24" t="s">
        <v>53</v>
      </c>
      <c r="C31" s="4"/>
      <c r="G31" s="25">
        <f>SUM(G7:G30)</f>
        <v>96</v>
      </c>
      <c r="I31" s="25">
        <f>SUM(I7:I30)</f>
        <v>120</v>
      </c>
      <c r="K31" s="25">
        <f>SUM(K7:K30)</f>
        <v>96</v>
      </c>
      <c r="M31" s="25">
        <f>SUM(M7:M30)</f>
        <v>240</v>
      </c>
      <c r="O31" s="25">
        <f>SUM(O7:O30)</f>
        <v>168</v>
      </c>
      <c r="P31" s="25">
        <f>SUM(G31,I31,K31,M31,O31)</f>
        <v>720</v>
      </c>
    </row>
    <row r="32" ht="15.75" customHeight="1">
      <c r="C32" s="4"/>
    </row>
    <row r="33" ht="15.75" customHeight="1">
      <c r="B33" s="26" t="s">
        <v>54</v>
      </c>
      <c r="C33" s="27" t="s">
        <v>55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ht="15.75" customHeight="1">
      <c r="B34" s="29" t="s">
        <v>56</v>
      </c>
      <c r="C34" s="30" t="s">
        <v>57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ht="15.75" customHeight="1">
      <c r="B35" s="31"/>
      <c r="C35" s="32">
        <v>406.8</v>
      </c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</row>
    <row r="36" ht="15.75" customHeight="1">
      <c r="B36" s="31"/>
      <c r="C36" s="32">
        <v>406.8</v>
      </c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</row>
    <row r="37" ht="15.75" customHeight="1">
      <c r="B37" s="29" t="s">
        <v>58</v>
      </c>
      <c r="C37" s="33">
        <v>813.6</v>
      </c>
      <c r="D37" s="25"/>
      <c r="E37" s="25"/>
      <c r="F37" s="34"/>
      <c r="G37" s="34"/>
      <c r="H37" s="34"/>
      <c r="I37" s="35"/>
      <c r="J37" s="34"/>
      <c r="K37" s="35"/>
      <c r="L37" s="34"/>
      <c r="M37" s="35"/>
      <c r="N37" s="34"/>
      <c r="O37" s="35"/>
    </row>
    <row r="38" ht="15.75" customHeight="1">
      <c r="B38" s="3"/>
      <c r="C38" s="29"/>
      <c r="D38" s="36"/>
      <c r="E38" s="37"/>
      <c r="F38" s="37"/>
      <c r="G38" s="37"/>
      <c r="H38" s="37"/>
      <c r="I38" s="37"/>
      <c r="J38" s="38"/>
      <c r="K38" s="37"/>
      <c r="L38" s="38"/>
      <c r="M38" s="37"/>
      <c r="N38" s="38"/>
      <c r="O38" s="37"/>
    </row>
    <row r="39" ht="15.75" customHeight="1">
      <c r="C39" s="4"/>
    </row>
    <row r="40" ht="15.75" customHeight="1">
      <c r="C40" s="4"/>
    </row>
    <row r="41" ht="15.75" customHeight="1">
      <c r="B41" s="3" t="s">
        <v>59</v>
      </c>
      <c r="C41" s="39" t="s">
        <v>60</v>
      </c>
      <c r="D41" s="39" t="s">
        <v>61</v>
      </c>
    </row>
    <row r="42" ht="15.75" customHeight="1">
      <c r="B42" s="3" t="s">
        <v>62</v>
      </c>
      <c r="C42" s="3">
        <v>20.0</v>
      </c>
      <c r="D42" s="39" t="s">
        <v>63</v>
      </c>
    </row>
    <row r="43" ht="15.75" customHeight="1">
      <c r="B43" s="3" t="s">
        <v>64</v>
      </c>
      <c r="C43" s="3">
        <v>4.0</v>
      </c>
      <c r="D43" s="39" t="s">
        <v>65</v>
      </c>
      <c r="E43" s="40"/>
    </row>
    <row r="44" ht="15.75" customHeight="1">
      <c r="B44" s="3" t="s">
        <v>66</v>
      </c>
      <c r="C44" s="3">
        <f>C42/C43</f>
        <v>5</v>
      </c>
      <c r="D44" s="39" t="s">
        <v>63</v>
      </c>
    </row>
    <row r="45" ht="15.75" customHeight="1">
      <c r="B45" s="41" t="s">
        <v>56</v>
      </c>
      <c r="C45" s="42">
        <v>813.6</v>
      </c>
      <c r="D45" s="39" t="s">
        <v>67</v>
      </c>
    </row>
    <row r="46" ht="15.75" customHeight="1">
      <c r="B46" s="3" t="s">
        <v>68</v>
      </c>
      <c r="C46" s="3">
        <f>C45/C43</f>
        <v>203.4</v>
      </c>
      <c r="D46" s="39" t="s">
        <v>69</v>
      </c>
      <c r="P46" s="43"/>
    </row>
    <row r="47" ht="15.75" customHeight="1">
      <c r="B47" s="3" t="s">
        <v>70</v>
      </c>
      <c r="C47" s="44">
        <f>C45*C44</f>
        <v>4068</v>
      </c>
      <c r="D47" s="39" t="s">
        <v>63</v>
      </c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>
      <c r="C810" s="45"/>
    </row>
    <row r="811">
      <c r="C811" s="45"/>
    </row>
    <row r="812">
      <c r="C812" s="45"/>
    </row>
    <row r="813">
      <c r="C813" s="45"/>
    </row>
    <row r="814">
      <c r="C814" s="45"/>
    </row>
    <row r="815">
      <c r="C815" s="45"/>
    </row>
    <row r="816">
      <c r="C816" s="45"/>
    </row>
    <row r="817">
      <c r="C817" s="45"/>
    </row>
    <row r="818">
      <c r="C818" s="45"/>
    </row>
    <row r="819">
      <c r="C819" s="45"/>
    </row>
    <row r="820">
      <c r="C820" s="45"/>
    </row>
    <row r="821">
      <c r="C821" s="45"/>
    </row>
    <row r="822">
      <c r="C822" s="45"/>
    </row>
    <row r="823">
      <c r="C823" s="45"/>
    </row>
    <row r="824">
      <c r="C824" s="45"/>
    </row>
    <row r="825">
      <c r="C825" s="45"/>
    </row>
    <row r="826">
      <c r="C826" s="45"/>
    </row>
    <row r="827">
      <c r="C827" s="45"/>
    </row>
    <row r="828">
      <c r="C828" s="45"/>
    </row>
    <row r="829">
      <c r="C829" s="45"/>
    </row>
    <row r="830">
      <c r="C830" s="45"/>
    </row>
    <row r="831">
      <c r="C831" s="45"/>
    </row>
    <row r="832">
      <c r="C832" s="45"/>
    </row>
    <row r="833">
      <c r="C833" s="45"/>
    </row>
    <row r="834">
      <c r="C834" s="45"/>
    </row>
    <row r="835">
      <c r="C835" s="45"/>
    </row>
    <row r="836">
      <c r="C836" s="45"/>
    </row>
    <row r="837">
      <c r="C837" s="45"/>
    </row>
    <row r="838">
      <c r="C838" s="45"/>
    </row>
    <row r="839">
      <c r="C839" s="45"/>
    </row>
    <row r="840">
      <c r="C840" s="45"/>
    </row>
    <row r="841">
      <c r="C841" s="45"/>
    </row>
    <row r="842">
      <c r="C842" s="45"/>
    </row>
    <row r="843">
      <c r="C843" s="45"/>
    </row>
    <row r="844">
      <c r="C844" s="45"/>
    </row>
    <row r="845">
      <c r="C845" s="45"/>
    </row>
    <row r="846">
      <c r="C846" s="45"/>
    </row>
    <row r="847">
      <c r="C847" s="45"/>
    </row>
    <row r="848">
      <c r="C848" s="45"/>
    </row>
    <row r="849">
      <c r="C849" s="45"/>
    </row>
    <row r="850">
      <c r="C850" s="45"/>
    </row>
    <row r="851">
      <c r="C851" s="45"/>
    </row>
    <row r="852">
      <c r="C852" s="45"/>
    </row>
    <row r="853">
      <c r="C853" s="45"/>
    </row>
    <row r="854">
      <c r="C854" s="45"/>
    </row>
    <row r="855">
      <c r="C855" s="45"/>
    </row>
    <row r="856">
      <c r="C856" s="45"/>
    </row>
    <row r="857">
      <c r="C857" s="45"/>
    </row>
    <row r="858">
      <c r="C858" s="45"/>
    </row>
    <row r="859">
      <c r="C859" s="45"/>
    </row>
    <row r="860">
      <c r="C860" s="45"/>
    </row>
    <row r="861">
      <c r="C861" s="45"/>
    </row>
    <row r="862">
      <c r="C862" s="45"/>
    </row>
    <row r="863">
      <c r="C863" s="45"/>
    </row>
    <row r="864">
      <c r="C864" s="45"/>
    </row>
    <row r="865">
      <c r="C865" s="45"/>
    </row>
    <row r="866">
      <c r="C866" s="45"/>
    </row>
    <row r="867">
      <c r="C867" s="45"/>
    </row>
    <row r="868">
      <c r="C868" s="45"/>
    </row>
    <row r="869">
      <c r="C869" s="45"/>
    </row>
    <row r="870">
      <c r="C870" s="45"/>
    </row>
    <row r="871">
      <c r="C871" s="45"/>
    </row>
    <row r="872">
      <c r="C872" s="45"/>
    </row>
    <row r="873">
      <c r="C873" s="45"/>
    </row>
    <row r="874">
      <c r="C874" s="45"/>
    </row>
    <row r="875">
      <c r="C875" s="45"/>
    </row>
    <row r="876">
      <c r="C876" s="45"/>
    </row>
    <row r="877">
      <c r="C877" s="45"/>
    </row>
    <row r="878">
      <c r="C878" s="45"/>
    </row>
    <row r="879">
      <c r="C879" s="45"/>
    </row>
    <row r="880">
      <c r="C880" s="45"/>
    </row>
    <row r="881">
      <c r="C881" s="45"/>
    </row>
  </sheetData>
  <mergeCells count="6">
    <mergeCell ref="A1:O1"/>
    <mergeCell ref="A5:A6"/>
    <mergeCell ref="B5:B6"/>
    <mergeCell ref="C5:C6"/>
    <mergeCell ref="D5:E5"/>
    <mergeCell ref="F5:O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8.63"/>
    <col customWidth="1" min="3" max="3" width="9.13"/>
    <col customWidth="1" min="4" max="4" width="90.13"/>
    <col customWidth="1" min="5" max="26" width="8.63"/>
  </cols>
  <sheetData>
    <row r="1" ht="12.75" customHeight="1">
      <c r="A1" s="46" t="s">
        <v>3</v>
      </c>
      <c r="B1" s="46" t="s">
        <v>71</v>
      </c>
      <c r="C1" s="46" t="s">
        <v>72</v>
      </c>
      <c r="D1" s="29" t="s">
        <v>73</v>
      </c>
    </row>
    <row r="2" ht="12.75" customHeight="1">
      <c r="A2" s="47">
        <v>1.0</v>
      </c>
      <c r="B2" s="48" t="s">
        <v>74</v>
      </c>
      <c r="C2" s="47">
        <v>4.0</v>
      </c>
      <c r="D2" s="49" t="s">
        <v>75</v>
      </c>
    </row>
    <row r="3" ht="12.75" customHeight="1">
      <c r="A3" s="47">
        <v>2.0</v>
      </c>
      <c r="B3" s="48" t="s">
        <v>76</v>
      </c>
      <c r="C3" s="47">
        <v>4.0</v>
      </c>
      <c r="D3" s="49" t="s">
        <v>77</v>
      </c>
    </row>
    <row r="4" ht="12.75" customHeight="1">
      <c r="A4" s="47">
        <v>3.0</v>
      </c>
      <c r="B4" s="48" t="s">
        <v>78</v>
      </c>
      <c r="C4" s="47">
        <v>2.0</v>
      </c>
      <c r="D4" s="48" t="s">
        <v>79</v>
      </c>
    </row>
    <row r="5" ht="12.75" customHeight="1">
      <c r="A5" s="47">
        <v>4.0</v>
      </c>
      <c r="B5" s="48" t="s">
        <v>80</v>
      </c>
      <c r="C5" s="47">
        <v>3.0</v>
      </c>
      <c r="D5" s="48" t="s">
        <v>81</v>
      </c>
    </row>
    <row r="6" ht="12.75" customHeight="1">
      <c r="A6" s="47">
        <v>5.0</v>
      </c>
      <c r="B6" s="48" t="s">
        <v>82</v>
      </c>
      <c r="C6" s="47">
        <v>3.0</v>
      </c>
      <c r="D6" s="48" t="s">
        <v>83</v>
      </c>
    </row>
    <row r="7" ht="12.75" customHeight="1">
      <c r="A7" s="47">
        <v>6.0</v>
      </c>
      <c r="B7" s="48" t="s">
        <v>84</v>
      </c>
      <c r="C7" s="47">
        <v>4.0</v>
      </c>
      <c r="D7" s="48" t="s">
        <v>85</v>
      </c>
    </row>
    <row r="8" ht="12.75" customHeight="1">
      <c r="A8" s="47">
        <v>7.0</v>
      </c>
      <c r="B8" s="48" t="s">
        <v>86</v>
      </c>
      <c r="C8" s="47">
        <v>5.0</v>
      </c>
      <c r="D8" s="49" t="s">
        <v>87</v>
      </c>
    </row>
    <row r="9" ht="12.75" customHeight="1">
      <c r="A9" s="47">
        <v>8.0</v>
      </c>
      <c r="B9" s="48" t="s">
        <v>88</v>
      </c>
      <c r="C9" s="47">
        <v>4.0</v>
      </c>
      <c r="D9" s="48" t="s">
        <v>89</v>
      </c>
    </row>
    <row r="10" ht="12.75" customHeight="1">
      <c r="A10" s="47">
        <v>9.0</v>
      </c>
      <c r="B10" s="48" t="s">
        <v>90</v>
      </c>
      <c r="C10" s="47">
        <v>3.0</v>
      </c>
      <c r="D10" s="49" t="s">
        <v>91</v>
      </c>
    </row>
    <row r="11" ht="12.75" customHeight="1">
      <c r="A11" s="47">
        <v>10.0</v>
      </c>
      <c r="B11" s="48" t="s">
        <v>92</v>
      </c>
      <c r="C11" s="47">
        <v>3.0</v>
      </c>
      <c r="D11" s="48" t="s">
        <v>93</v>
      </c>
    </row>
    <row r="12" ht="12.75" customHeight="1">
      <c r="A12" s="47">
        <v>11.0</v>
      </c>
      <c r="B12" s="48" t="s">
        <v>94</v>
      </c>
      <c r="C12" s="47">
        <v>2.0</v>
      </c>
      <c r="D12" s="48" t="s">
        <v>95</v>
      </c>
    </row>
    <row r="13" ht="12.75" customHeight="1">
      <c r="A13" s="47">
        <v>12.0</v>
      </c>
      <c r="B13" s="48" t="s">
        <v>96</v>
      </c>
      <c r="C13" s="47">
        <v>4.0</v>
      </c>
      <c r="D13" s="48" t="s">
        <v>97</v>
      </c>
    </row>
    <row r="14" ht="12.75" customHeight="1">
      <c r="A14" s="3"/>
      <c r="B14" s="29" t="s">
        <v>53</v>
      </c>
      <c r="C14" s="50">
        <f>SUM(C2:C13)</f>
        <v>41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34.38"/>
    <col customWidth="1" min="3" max="3" width="21.88"/>
    <col customWidth="1" min="5" max="5" width="25.5"/>
    <col customWidth="1" min="6" max="7" width="7.13"/>
    <col customWidth="1" min="8" max="8" width="18.38"/>
    <col customWidth="1" min="10" max="10" width="21.75"/>
  </cols>
  <sheetData>
    <row r="1" ht="39.0" customHeight="1">
      <c r="A1" s="51" t="s">
        <v>98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53"/>
      <c r="B2" s="52"/>
      <c r="C2" s="52"/>
      <c r="D2" s="52"/>
      <c r="G2" s="52"/>
      <c r="H2" s="52"/>
      <c r="I2" s="52"/>
      <c r="J2" s="53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5.75" customHeight="1">
      <c r="A3" s="54" t="s">
        <v>99</v>
      </c>
      <c r="B3" s="54" t="s">
        <v>100</v>
      </c>
      <c r="C3" s="54" t="s">
        <v>101</v>
      </c>
      <c r="D3" s="54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5.75" customHeight="1">
      <c r="A4" s="54"/>
      <c r="B4" s="54" t="s">
        <v>10</v>
      </c>
      <c r="C4" s="54"/>
      <c r="D4" s="54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5.75" customHeight="1">
      <c r="A5" s="54"/>
      <c r="B5" s="54" t="s">
        <v>12</v>
      </c>
      <c r="C5" s="54"/>
      <c r="D5" s="54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5.75" customHeight="1">
      <c r="A6" s="54"/>
      <c r="B6" s="54" t="s">
        <v>14</v>
      </c>
      <c r="C6" s="54"/>
      <c r="D6" s="54"/>
      <c r="E6" s="52"/>
      <c r="F6" s="55"/>
      <c r="G6" s="55"/>
      <c r="H6" s="56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5.75" customHeight="1">
      <c r="A7" s="54"/>
      <c r="B7" s="54" t="s">
        <v>16</v>
      </c>
      <c r="C7" s="54"/>
      <c r="D7" s="54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15.75" customHeight="1">
      <c r="A8" s="54"/>
      <c r="B8" s="54" t="s">
        <v>18</v>
      </c>
      <c r="C8" s="54"/>
      <c r="D8" s="54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15.75" customHeight="1">
      <c r="A9" s="54"/>
      <c r="B9" s="54" t="s">
        <v>102</v>
      </c>
      <c r="C9" s="54"/>
      <c r="D9" s="54"/>
      <c r="E9" s="52"/>
      <c r="F9" s="55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15.75" customHeight="1">
      <c r="A10" s="54"/>
      <c r="B10" s="54"/>
      <c r="C10" s="54"/>
      <c r="D10" s="54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15.75" customHeight="1">
      <c r="A11" s="37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15.75" customHeight="1">
      <c r="A12" s="37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15.75" customHeight="1">
      <c r="A13" s="37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15.75" customHeight="1">
      <c r="A14" s="37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15.75" customHeight="1">
      <c r="A15" s="37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15.75" customHeight="1">
      <c r="A16" s="37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15.75" customHeight="1">
      <c r="A17" s="37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15.75" customHeight="1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5.75" customHeight="1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15.75" customHeight="1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15.75" customHeight="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15.75" customHeight="1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15.75" customHeight="1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15.75" customHeight="1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15.7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15.75" customHeight="1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15.75" customHeight="1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15.75" customHeight="1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15.75" customHeight="1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15.75" customHeight="1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15.75" customHeight="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15.75" customHeight="1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5.75" customHeight="1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5.75" customHeight="1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15.75" customHeight="1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15.75" customHeight="1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15.75" customHeight="1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15.75" customHeight="1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15.75" customHeight="1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15.75" customHeight="1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15.75" customHeight="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15.75" customHeight="1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15.75" customHeight="1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15.75" customHeight="1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15.75" customHeight="1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15.7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15.75" customHeight="1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15.75" customHeight="1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15.75" customHeight="1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15.75" customHeight="1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15.7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15.75" customHeight="1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15.75" customHeight="1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15.7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15.75" customHeight="1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15.75" customHeight="1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15.75" customHeight="1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15.75" customHeight="1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15.75" customHeight="1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15.7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15.7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15.7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15.7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15.75" customHeight="1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15.75" customHeight="1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15.75" customHeight="1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15.75" customHeight="1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15.75" customHeight="1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15.7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15.75" customHeight="1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15.75" customHeight="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15.75" customHeight="1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15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15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15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15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15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15.75" customHeight="1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15.75" customHeight="1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15.75" customHeight="1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15.75" customHeight="1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15.75" customHeight="1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15.75" customHeight="1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15.75" customHeight="1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15.75" customHeight="1">
      <c r="A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15.75" customHeight="1">
      <c r="A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15.75" customHeight="1">
      <c r="A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15.75" customHeight="1">
      <c r="A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15.75" customHeight="1">
      <c r="A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15.75" customHeight="1">
      <c r="A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15.75" customHeight="1">
      <c r="A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15.75" customHeight="1">
      <c r="A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15.75" customHeight="1">
      <c r="A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15.75" customHeight="1">
      <c r="A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5.13"/>
    <col customWidth="1" min="3" max="3" width="22.88"/>
    <col customWidth="1" min="4" max="26" width="8.63"/>
  </cols>
  <sheetData>
    <row r="1" ht="32.25" customHeight="1">
      <c r="A1" s="57" t="s">
        <v>103</v>
      </c>
    </row>
    <row r="2" ht="12.75" customHeight="1">
      <c r="A2" s="58"/>
      <c r="B2" s="58"/>
      <c r="C2" s="58"/>
    </row>
    <row r="3" ht="12.75" customHeight="1">
      <c r="A3" s="58"/>
      <c r="B3" s="58"/>
      <c r="C3" s="58"/>
    </row>
    <row r="4">
      <c r="A4" s="59" t="s">
        <v>104</v>
      </c>
      <c r="B4" s="59" t="s">
        <v>105</v>
      </c>
      <c r="C4" s="60" t="s">
        <v>106</v>
      </c>
    </row>
    <row r="5">
      <c r="A5" s="3" t="s">
        <v>107</v>
      </c>
      <c r="B5" s="61">
        <v>0.3</v>
      </c>
      <c r="C5" s="62">
        <f>C10*B5</f>
        <v>1261.2</v>
      </c>
    </row>
    <row r="6">
      <c r="A6" s="3" t="s">
        <v>108</v>
      </c>
      <c r="B6" s="61">
        <v>0.2</v>
      </c>
      <c r="C6" s="62">
        <f>C10*B6</f>
        <v>840.8</v>
      </c>
    </row>
    <row r="7">
      <c r="A7" s="3" t="s">
        <v>109</v>
      </c>
      <c r="B7" s="61">
        <v>0.1</v>
      </c>
      <c r="C7" s="62">
        <f>C10*B7</f>
        <v>420.4</v>
      </c>
    </row>
    <row r="8">
      <c r="A8" s="3" t="s">
        <v>110</v>
      </c>
      <c r="B8" s="61">
        <v>0.05</v>
      </c>
      <c r="C8" s="63">
        <f>C10*B8</f>
        <v>210.2</v>
      </c>
    </row>
    <row r="9">
      <c r="A9" s="3" t="s">
        <v>111</v>
      </c>
      <c r="B9" s="61">
        <v>0.35</v>
      </c>
      <c r="C9" s="3">
        <f>C10*B9</f>
        <v>1471.4</v>
      </c>
    </row>
    <row r="10">
      <c r="A10" s="64" t="s">
        <v>112</v>
      </c>
      <c r="B10" s="8"/>
      <c r="C10" s="65">
        <v>4204.0</v>
      </c>
    </row>
    <row r="11" ht="12.75" customHeight="1">
      <c r="A11" s="52"/>
      <c r="B11" s="52"/>
      <c r="C11" s="52"/>
    </row>
    <row r="12" ht="12.75" customHeight="1">
      <c r="A12" s="52"/>
      <c r="B12" s="52"/>
      <c r="C12" s="52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2">
    <mergeCell ref="A1:C1"/>
    <mergeCell ref="A10:B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